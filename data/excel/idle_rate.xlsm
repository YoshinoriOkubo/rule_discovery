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yoshinoriokubo/Documents/simulator/data/excel/"/>
    </mc:Choice>
  </mc:AlternateContent>
  <xr:revisionPtr revIDLastSave="0" documentId="13_ncr:1_{984E5844-2D92-C64E-97A1-6388ED13D8EF}" xr6:coauthVersionLast="45" xr6:coauthVersionMax="45" xr10:uidLastSave="{00000000-0000-0000-0000-000000000000}"/>
  <bookViews>
    <workbookView xWindow="0" yWindow="820" windowWidth="28300" windowHeight="13820" xr2:uid="{00000000-000D-0000-FFFF-FFFF00000000}"/>
  </bookViews>
  <sheets>
    <sheet name="idle_rat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4" i="1" l="1"/>
  <c r="F3" i="1"/>
  <c r="F4" i="1"/>
  <c r="F5" i="1"/>
  <c r="F6" i="1"/>
  <c r="F7" i="1"/>
  <c r="F8" i="1"/>
  <c r="F9" i="1"/>
  <c r="F10" i="1"/>
  <c r="F11" i="1"/>
  <c r="F12" i="1"/>
  <c r="F13" i="1"/>
  <c r="F14" i="1"/>
  <c r="F2" i="1"/>
  <c r="P12" i="1"/>
  <c r="O12" i="1"/>
  <c r="L12" i="1"/>
  <c r="L11" i="1"/>
  <c r="K11" i="1"/>
  <c r="R18" i="1"/>
  <c r="R16" i="1"/>
  <c r="L14" i="1"/>
  <c r="Q22" i="1"/>
  <c r="P22" i="1"/>
  <c r="O22" i="1"/>
  <c r="N22" i="1"/>
  <c r="B18" i="1" l="1"/>
  <c r="J14" i="1" l="1"/>
  <c r="I17" i="1" s="1"/>
</calcChain>
</file>

<file path=xl/sharedStrings.xml><?xml version="1.0" encoding="utf-8"?>
<sst xmlns="http://schemas.openxmlformats.org/spreadsheetml/2006/main" count="27" uniqueCount="23">
  <si>
    <t>Date</t>
  </si>
  <si>
    <t>gap</t>
  </si>
  <si>
    <t>供給</t>
  </si>
  <si>
    <t>需要</t>
  </si>
  <si>
    <t>正＝供給過多</t>
    <rPh sb="0" eb="1">
      <t xml:space="preserve">セイ </t>
    </rPh>
    <rPh sb="2" eb="4">
      <t>キョウキュウカテ</t>
    </rPh>
    <rPh sb="4" eb="6">
      <t>カタ</t>
    </rPh>
    <phoneticPr fontId="18"/>
  </si>
  <si>
    <t>平均　</t>
    <rPh sb="0" eb="2">
      <t>ヘイキn</t>
    </rPh>
    <phoneticPr fontId="18"/>
  </si>
  <si>
    <t>楽観度</t>
    <rPh sb="0" eb="3">
      <t>ラッカn</t>
    </rPh>
    <phoneticPr fontId="18"/>
  </si>
  <si>
    <t>遊休率</t>
    <rPh sb="0" eb="3">
      <t>ユウキュウ</t>
    </rPh>
    <phoneticPr fontId="18"/>
  </si>
  <si>
    <t>20シナリオ</t>
    <phoneticPr fontId="18"/>
  </si>
  <si>
    <t>平均-&gt;</t>
    <rPh sb="0" eb="2">
      <t>ヘイキn</t>
    </rPh>
    <phoneticPr fontId="18"/>
  </si>
  <si>
    <t>14年末</t>
    <rPh sb="2" eb="4">
      <t>ネn</t>
    </rPh>
    <phoneticPr fontId="18"/>
  </si>
  <si>
    <t>='</t>
    <phoneticPr fontId="18"/>
  </si>
  <si>
    <t>SUPP/D*x</t>
    <phoneticPr fontId="18"/>
  </si>
  <si>
    <t>年間需要</t>
    <rPh sb="0" eb="2">
      <t>ネn</t>
    </rPh>
    <rPh sb="2" eb="4">
      <t>ジュヨウ</t>
    </rPh>
    <phoneticPr fontId="18"/>
  </si>
  <si>
    <t>コンテナ数</t>
    <rPh sb="4" eb="5">
      <t>スウ</t>
    </rPh>
    <phoneticPr fontId="18"/>
  </si>
  <si>
    <t>需要あたりコンテナ</t>
    <rPh sb="0" eb="2">
      <t>ジュヨウ</t>
    </rPh>
    <phoneticPr fontId="18"/>
  </si>
  <si>
    <t>2014年</t>
    <rPh sb="4" eb="5">
      <t>ネn</t>
    </rPh>
    <phoneticPr fontId="18"/>
  </si>
  <si>
    <t>年間</t>
    <rPh sb="0" eb="2">
      <t>ネn</t>
    </rPh>
    <phoneticPr fontId="18"/>
  </si>
  <si>
    <t>コンテナ</t>
    <phoneticPr fontId="18"/>
  </si>
  <si>
    <t>供給/需要</t>
    <rPh sb="0" eb="2">
      <t>キョウキュウ</t>
    </rPh>
    <rPh sb="3" eb="5">
      <t>ジュヨウ</t>
    </rPh>
    <phoneticPr fontId="18"/>
  </si>
  <si>
    <t>コンテナあたり需要</t>
    <rPh sb="7" eb="9">
      <t>ジュヨウ</t>
    </rPh>
    <phoneticPr fontId="18"/>
  </si>
  <si>
    <t>遊休率考慮</t>
    <rPh sb="0" eb="3">
      <t>ユウキュウ</t>
    </rPh>
    <rPh sb="3" eb="5">
      <t>コウ</t>
    </rPh>
    <phoneticPr fontId="18"/>
  </si>
  <si>
    <t>需要/供給</t>
    <rPh sb="0" eb="2">
      <t>ジュヨウ</t>
    </rPh>
    <rPh sb="3" eb="5">
      <t>キョウキュウ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</si>
</sst>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16" fontId="0" fillId="0" borderId="0" xfId="0" applyNumberFormat="1">
      <alignment vertical="center"/>
    </xf>
    <xf numFmtId="0" fontId="14" fillId="33" borderId="0" xfId="0" applyFont="1" applyFill="1">
      <alignment vertical="center"/>
    </xf>
    <xf numFmtId="0" fontId="0" fillId="0" borderId="0" xfId="0" quotePrefix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idle_rate!$B$2:$B$15</c:f>
              <c:numCache>
                <c:formatCode>General</c:formatCode>
                <c:ptCount val="14"/>
                <c:pt idx="0">
                  <c:v>-2.8679342E-2</c:v>
                </c:pt>
                <c:pt idx="1">
                  <c:v>-9.4457150000000004E-3</c:v>
                </c:pt>
                <c:pt idx="2">
                  <c:v>4.1041781999999999E-2</c:v>
                </c:pt>
                <c:pt idx="3">
                  <c:v>6.4745848999999994E-2</c:v>
                </c:pt>
                <c:pt idx="4">
                  <c:v>0.14351105</c:v>
                </c:pt>
                <c:pt idx="5">
                  <c:v>0.30709491500000002</c:v>
                </c:pt>
                <c:pt idx="6">
                  <c:v>0.22663317599999999</c:v>
                </c:pt>
                <c:pt idx="7">
                  <c:v>0.20420254400000001</c:v>
                </c:pt>
                <c:pt idx="8">
                  <c:v>0.21749415899999999</c:v>
                </c:pt>
                <c:pt idx="9">
                  <c:v>0.19655160999999999</c:v>
                </c:pt>
                <c:pt idx="10">
                  <c:v>0.16371265300000001</c:v>
                </c:pt>
                <c:pt idx="11">
                  <c:v>0.240983579</c:v>
                </c:pt>
                <c:pt idx="12">
                  <c:v>0.21706692899999999</c:v>
                </c:pt>
                <c:pt idx="13">
                  <c:v>0.202084967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24-6D4E-B8ED-78C707222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8587599"/>
        <c:axId val="938589231"/>
      </c:lineChart>
      <c:catAx>
        <c:axId val="938587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8589231"/>
        <c:crosses val="autoZero"/>
        <c:auto val="1"/>
        <c:lblAlgn val="ctr"/>
        <c:lblOffset val="100"/>
        <c:noMultiLvlLbl val="0"/>
      </c:catAx>
      <c:valAx>
        <c:axId val="938589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8587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82550</xdr:colOff>
      <xdr:row>0</xdr:row>
      <xdr:rowOff>0</xdr:rowOff>
    </xdr:from>
    <xdr:to>
      <xdr:col>16</xdr:col>
      <xdr:colOff>844550</xdr:colOff>
      <xdr:row>10</xdr:row>
      <xdr:rowOff>203200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6CD15E9-FAC6-9B44-9BB8-6D787357B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25"/>
  <sheetViews>
    <sheetView tabSelected="1" workbookViewId="0">
      <selection activeCell="F19" sqref="F19"/>
    </sheetView>
  </sheetViews>
  <sheetFormatPr baseColWidth="10" defaultRowHeight="20"/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22</v>
      </c>
      <c r="I1" t="s">
        <v>3</v>
      </c>
      <c r="J1" t="s">
        <v>2</v>
      </c>
    </row>
    <row r="2" spans="1:18">
      <c r="A2" s="1">
        <v>37987</v>
      </c>
      <c r="B2">
        <v>-2.8679342E-2</v>
      </c>
      <c r="C2">
        <v>7239</v>
      </c>
      <c r="D2">
        <v>6.708613766</v>
      </c>
      <c r="E2">
        <v>9.0015400000000001E-4</v>
      </c>
      <c r="F2">
        <f>E2*12</f>
        <v>1.0801847999999999E-2</v>
      </c>
    </row>
    <row r="3" spans="1:18">
      <c r="A3" s="2">
        <v>43470</v>
      </c>
      <c r="B3">
        <v>-9.4457150000000004E-3</v>
      </c>
      <c r="C3">
        <v>8178</v>
      </c>
      <c r="D3">
        <v>7.0180100090000002</v>
      </c>
      <c r="E3">
        <v>8.50051E-4</v>
      </c>
      <c r="F3">
        <f t="shared" ref="F3:F14" si="0">E3*12</f>
        <v>1.0200612E-2</v>
      </c>
    </row>
    <row r="4" spans="1:18">
      <c r="A4" s="1">
        <v>38718</v>
      </c>
      <c r="B4">
        <v>4.1041781999999999E-2</v>
      </c>
      <c r="C4">
        <v>9519</v>
      </c>
      <c r="D4">
        <v>7.5822031589999996</v>
      </c>
      <c r="E4">
        <v>8.2922499999999995E-4</v>
      </c>
      <c r="F4">
        <f t="shared" si="0"/>
        <v>9.9506999999999998E-3</v>
      </c>
    </row>
    <row r="5" spans="1:18">
      <c r="A5" s="1">
        <v>39083</v>
      </c>
      <c r="B5">
        <v>6.4745848999999994E-2</v>
      </c>
      <c r="C5">
        <v>10821</v>
      </c>
      <c r="D5">
        <v>8.4921921079999994</v>
      </c>
      <c r="E5">
        <v>8.3560000000000004E-4</v>
      </c>
      <c r="F5">
        <f t="shared" si="0"/>
        <v>1.00272E-2</v>
      </c>
    </row>
    <row r="6" spans="1:18">
      <c r="A6" s="1">
        <v>39448</v>
      </c>
      <c r="B6">
        <v>0.14351105</v>
      </c>
      <c r="C6">
        <v>12141</v>
      </c>
      <c r="D6">
        <v>8.8197881329999994</v>
      </c>
      <c r="E6">
        <v>8.3069999999999997E-4</v>
      </c>
      <c r="F6">
        <f t="shared" si="0"/>
        <v>9.9683999999999988E-3</v>
      </c>
    </row>
    <row r="7" spans="1:18">
      <c r="A7" s="2">
        <v>43474</v>
      </c>
      <c r="B7">
        <v>0.30709491500000002</v>
      </c>
      <c r="C7">
        <v>12938</v>
      </c>
      <c r="D7">
        <v>7.9825982980000001</v>
      </c>
      <c r="E7">
        <v>8.0646299999999999E-4</v>
      </c>
      <c r="F7">
        <f t="shared" si="0"/>
        <v>9.6775560000000004E-3</v>
      </c>
    </row>
    <row r="8" spans="1:18">
      <c r="A8" s="2">
        <v>43475</v>
      </c>
      <c r="B8">
        <v>0.22663317599999999</v>
      </c>
      <c r="C8">
        <v>14092</v>
      </c>
      <c r="D8">
        <v>9.1837837170000007</v>
      </c>
      <c r="E8">
        <v>7.9939900000000001E-4</v>
      </c>
      <c r="F8">
        <f t="shared" si="0"/>
        <v>9.5927879999999997E-3</v>
      </c>
    </row>
    <row r="9" spans="1:18">
      <c r="A9" s="2">
        <v>43476</v>
      </c>
      <c r="B9">
        <v>0.20420254400000001</v>
      </c>
      <c r="C9">
        <v>15319</v>
      </c>
      <c r="D9">
        <v>9.8207759830000008</v>
      </c>
      <c r="E9">
        <v>7.7199600000000005E-4</v>
      </c>
      <c r="F9">
        <f t="shared" si="0"/>
        <v>9.2639520000000006E-3</v>
      </c>
    </row>
    <row r="10" spans="1:18">
      <c r="A10" s="2">
        <v>43477</v>
      </c>
      <c r="B10">
        <v>0.21749415899999999</v>
      </c>
      <c r="C10">
        <v>16196</v>
      </c>
      <c r="D10">
        <v>10.039173330000001</v>
      </c>
      <c r="E10">
        <v>7.5467000000000004E-4</v>
      </c>
      <c r="F10">
        <f t="shared" si="0"/>
        <v>9.0560400000000013E-3</v>
      </c>
      <c r="L10" t="s">
        <v>21</v>
      </c>
    </row>
    <row r="11" spans="1:18">
      <c r="A11" s="2">
        <v>43478</v>
      </c>
      <c r="B11">
        <v>0.19655160999999999</v>
      </c>
      <c r="C11">
        <v>17135</v>
      </c>
      <c r="D11">
        <v>10.239370900000001</v>
      </c>
      <c r="E11">
        <v>7.1502399999999998E-4</v>
      </c>
      <c r="F11">
        <f t="shared" si="0"/>
        <v>8.5802880000000002E-3</v>
      </c>
      <c r="K11">
        <f>I12/J12</f>
        <v>5.6226227881594178E-3</v>
      </c>
      <c r="L11">
        <f>(1+B12)*I12/J12</f>
        <v>6.543117281627253E-3</v>
      </c>
    </row>
    <row r="12" spans="1:18">
      <c r="A12" s="2">
        <v>43479</v>
      </c>
      <c r="B12">
        <v>0.16371265300000001</v>
      </c>
      <c r="C12">
        <v>18141</v>
      </c>
      <c r="D12">
        <v>10.639766030000001</v>
      </c>
      <c r="E12">
        <v>6.8252199999999997E-4</v>
      </c>
      <c r="F12">
        <f t="shared" si="0"/>
        <v>8.1902639999999992E-3</v>
      </c>
      <c r="G12">
        <v>1.140234524</v>
      </c>
      <c r="H12">
        <v>2.4263660000000001E-3</v>
      </c>
      <c r="I12">
        <v>102</v>
      </c>
      <c r="J12">
        <v>18141</v>
      </c>
      <c r="L12">
        <f>L11*3.555</f>
        <v>2.3260781936184884E-2</v>
      </c>
      <c r="M12" t="s">
        <v>15</v>
      </c>
      <c r="O12">
        <f>J12/(1.16*I12)</f>
        <v>153.32150101419879</v>
      </c>
      <c r="P12">
        <f>O12/3.555</f>
        <v>43.128410974458163</v>
      </c>
    </row>
    <row r="13" spans="1:18">
      <c r="A13" s="2">
        <v>43480</v>
      </c>
      <c r="B13">
        <v>0.240983579</v>
      </c>
      <c r="C13">
        <v>19691</v>
      </c>
      <c r="D13">
        <v>10.785364270000001</v>
      </c>
      <c r="E13">
        <v>6.7972499999999995E-4</v>
      </c>
      <c r="F13">
        <f t="shared" si="0"/>
        <v>8.1566999999999994E-3</v>
      </c>
      <c r="I13" t="s">
        <v>13</v>
      </c>
      <c r="J13" t="s">
        <v>14</v>
      </c>
      <c r="K13" t="s">
        <v>15</v>
      </c>
    </row>
    <row r="14" spans="1:18">
      <c r="A14" s="2">
        <v>43481</v>
      </c>
      <c r="B14">
        <v>0.21706692899999999</v>
      </c>
      <c r="C14">
        <v>19935</v>
      </c>
      <c r="D14">
        <v>11.076560730000001</v>
      </c>
      <c r="E14">
        <v>6.76244E-4</v>
      </c>
      <c r="F14">
        <f t="shared" si="0"/>
        <v>8.1149280000000004E-3</v>
      </c>
      <c r="I14">
        <v>102</v>
      </c>
      <c r="J14">
        <f>J12/3.555</f>
        <v>5102.9535864978898</v>
      </c>
      <c r="K14">
        <f>1.16*J14/I14</f>
        <v>58.033589807230896</v>
      </c>
      <c r="L14">
        <f>1/K14</f>
        <v>1.7231400010264426E-2</v>
      </c>
      <c r="O14" t="s">
        <v>16</v>
      </c>
    </row>
    <row r="15" spans="1:18">
      <c r="A15" s="2">
        <v>43482</v>
      </c>
      <c r="B15">
        <v>0.202084967</v>
      </c>
      <c r="D15" t="s">
        <v>9</v>
      </c>
      <c r="E15">
        <v>7.7936699999999999E-4</v>
      </c>
      <c r="K15">
        <v>2.3260570000000001E-2</v>
      </c>
      <c r="O15" t="s">
        <v>17</v>
      </c>
      <c r="P15" t="s">
        <v>18</v>
      </c>
      <c r="Q15" t="s">
        <v>19</v>
      </c>
      <c r="R15" t="s">
        <v>15</v>
      </c>
    </row>
    <row r="16" spans="1:18">
      <c r="B16" t="s">
        <v>4</v>
      </c>
      <c r="O16">
        <v>102</v>
      </c>
      <c r="P16">
        <v>5102</v>
      </c>
      <c r="Q16">
        <v>1.1599999999999999</v>
      </c>
      <c r="R16">
        <f>P16/(O16*Q16)</f>
        <v>43.120351588911426</v>
      </c>
    </row>
    <row r="17" spans="1:18">
      <c r="E17">
        <v>3.0348549999999999E-3</v>
      </c>
      <c r="I17">
        <f>I14*(1+B12)/J14</f>
        <v>2.3260781936184888E-2</v>
      </c>
      <c r="R17" t="s">
        <v>20</v>
      </c>
    </row>
    <row r="18" spans="1:18">
      <c r="A18" t="s">
        <v>5</v>
      </c>
      <c r="B18">
        <f>AVERAGE(B2:B12)</f>
        <v>0.13880569827272726</v>
      </c>
      <c r="R18">
        <f>1/R16</f>
        <v>2.3190905527244218E-2</v>
      </c>
    </row>
    <row r="20" spans="1:18">
      <c r="A20" t="s">
        <v>8</v>
      </c>
      <c r="N20">
        <v>1.1599999999999999</v>
      </c>
      <c r="O20" s="4" t="s">
        <v>11</v>
      </c>
      <c r="P20" t="s">
        <v>12</v>
      </c>
    </row>
    <row r="21" spans="1:18">
      <c r="A21" t="s">
        <v>6</v>
      </c>
      <c r="B21">
        <v>1</v>
      </c>
      <c r="C21">
        <v>1.1000000000000001</v>
      </c>
      <c r="D21">
        <v>1.2</v>
      </c>
      <c r="E21">
        <v>1.3</v>
      </c>
      <c r="G21">
        <v>1.31</v>
      </c>
      <c r="H21">
        <v>1.35</v>
      </c>
      <c r="Q21">
        <v>3.5550000000000002</v>
      </c>
    </row>
    <row r="22" spans="1:18">
      <c r="A22" t="s">
        <v>7</v>
      </c>
      <c r="B22">
        <v>0.91</v>
      </c>
      <c r="C22">
        <v>0.98</v>
      </c>
      <c r="D22">
        <v>1.06</v>
      </c>
      <c r="E22">
        <v>1.129</v>
      </c>
      <c r="G22">
        <v>1.1439999999999999</v>
      </c>
      <c r="H22">
        <v>1.163</v>
      </c>
      <c r="M22" t="s">
        <v>10</v>
      </c>
      <c r="N22">
        <f>C12/(1+B12)</f>
        <v>15588.899848457693</v>
      </c>
      <c r="O22">
        <f>N22/D12</f>
        <v>1465.1543844576149</v>
      </c>
      <c r="P22">
        <f>1/O22</f>
        <v>6.8252193120944707E-4</v>
      </c>
      <c r="Q22">
        <f>P22*3.555</f>
        <v>2.4263654654495845E-3</v>
      </c>
    </row>
    <row r="24" spans="1:18">
      <c r="E24" s="3">
        <v>1.3089999999999999</v>
      </c>
      <c r="F24" s="3"/>
    </row>
    <row r="25" spans="1:18">
      <c r="E25">
        <v>1.1405000000000001</v>
      </c>
    </row>
  </sheetData>
  <phoneticPr fontId="18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idle_rate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2019-11-27T05:11:01Z</dcterms:created>
  <dcterms:modified xsi:type="dcterms:W3CDTF">2020-01-29T01:21:24Z</dcterms:modified>
</cp:coreProperties>
</file>